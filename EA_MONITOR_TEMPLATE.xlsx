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A_LAB\"/>
    </mc:Choice>
  </mc:AlternateContent>
  <xr:revisionPtr revIDLastSave="0" documentId="8_{D4956C40-D901-4B01-AD36-F8373FD3A8DE}" xr6:coauthVersionLast="47" xr6:coauthVersionMax="47" xr10:uidLastSave="{00000000-0000-0000-0000-000000000000}"/>
  <bookViews>
    <workbookView xWindow="390" yWindow="390" windowWidth="28800" windowHeight="11295" activeTab="2" xr2:uid="{3FFE4256-47BD-42C8-A52E-2407F04A43A7}"/>
  </bookViews>
  <sheets>
    <sheet name="BASELINE" sheetId="1" r:id="rId1"/>
    <sheet name="LIVE" sheetId="2" r:id="rId2"/>
    <sheet name="DASHBOAR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3" l="1"/>
  <c r="I10" i="3"/>
  <c r="H10" i="3"/>
  <c r="G10" i="3"/>
  <c r="F10" i="3"/>
  <c r="E10" i="3"/>
  <c r="D10" i="3"/>
  <c r="C10" i="3"/>
  <c r="B10" i="3"/>
  <c r="A10" i="3"/>
  <c r="J9" i="3"/>
  <c r="I9" i="3"/>
  <c r="H9" i="3"/>
  <c r="G9" i="3"/>
  <c r="F9" i="3"/>
  <c r="E9" i="3"/>
  <c r="D9" i="3"/>
  <c r="C9" i="3"/>
  <c r="B9" i="3"/>
  <c r="A9" i="3"/>
  <c r="J8" i="3"/>
  <c r="I8" i="3"/>
  <c r="H8" i="3"/>
  <c r="G8" i="3"/>
  <c r="F8" i="3"/>
  <c r="E8" i="3"/>
  <c r="D8" i="3"/>
  <c r="C8" i="3"/>
  <c r="B8" i="3"/>
  <c r="A8" i="3"/>
  <c r="J7" i="3"/>
  <c r="I7" i="3"/>
  <c r="H7" i="3"/>
  <c r="G7" i="3"/>
  <c r="F7" i="3"/>
  <c r="E7" i="3"/>
  <c r="D7" i="3"/>
  <c r="C7" i="3"/>
  <c r="B7" i="3"/>
  <c r="A7" i="3"/>
  <c r="J6" i="3"/>
  <c r="I6" i="3"/>
  <c r="H6" i="3"/>
  <c r="G6" i="3"/>
  <c r="F6" i="3"/>
  <c r="E6" i="3"/>
  <c r="D6" i="3"/>
  <c r="C6" i="3"/>
  <c r="B6" i="3"/>
  <c r="A6" i="3"/>
  <c r="J5" i="3"/>
  <c r="I5" i="3"/>
  <c r="H5" i="3"/>
  <c r="G5" i="3"/>
  <c r="F5" i="3"/>
  <c r="E5" i="3"/>
  <c r="D5" i="3"/>
  <c r="C5" i="3"/>
  <c r="B5" i="3"/>
  <c r="A5" i="3"/>
  <c r="J4" i="3"/>
  <c r="I4" i="3"/>
  <c r="H4" i="3"/>
  <c r="G4" i="3"/>
  <c r="F4" i="3"/>
  <c r="E4" i="3"/>
  <c r="D4" i="3"/>
  <c r="C4" i="3"/>
  <c r="B4" i="3"/>
  <c r="A4" i="3"/>
  <c r="J3" i="3"/>
  <c r="I3" i="3"/>
  <c r="H3" i="3"/>
  <c r="G3" i="3"/>
  <c r="F3" i="3"/>
  <c r="E3" i="3"/>
  <c r="D3" i="3"/>
  <c r="C3" i="3"/>
  <c r="B3" i="3"/>
  <c r="A3" i="3"/>
  <c r="J2" i="3"/>
  <c r="I2" i="3"/>
  <c r="H2" i="3"/>
  <c r="G2" i="3"/>
  <c r="F2" i="3"/>
  <c r="E2" i="3"/>
  <c r="D2" i="3"/>
  <c r="C2" i="3"/>
  <c r="B2" i="3"/>
  <c r="A2" i="3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<sst xmlns="http://schemas.openxmlformats.org/spreadsheetml/2006/main" count="77" uniqueCount="56">
  <si>
    <t>EA</t>
  </si>
  <si>
    <t>Symbol</t>
  </si>
  <si>
    <t>TF</t>
  </si>
  <si>
    <t>Magic</t>
  </si>
  <si>
    <t>Key</t>
  </si>
  <si>
    <t>Class</t>
  </si>
  <si>
    <t>BT_OOS_PF</t>
  </si>
  <si>
    <t>BT_maxDD%</t>
  </si>
  <si>
    <t>BT_consec</t>
  </si>
  <si>
    <t>Notes</t>
  </si>
  <si>
    <t>Matchagrid MG_v1</t>
  </si>
  <si>
    <t>CHFJPY</t>
  </si>
  <si>
    <t>M15</t>
  </si>
  <si>
    <t>grid</t>
  </si>
  <si>
    <t>magic NOT in .set - read from MT5 GUI then fill col D</t>
  </si>
  <si>
    <t>NuiIndy RSI+ADX</t>
  </si>
  <si>
    <t>EURUSD</t>
  </si>
  <si>
    <t>H1</t>
  </si>
  <si>
    <t>reversion</t>
  </si>
  <si>
    <t>ST_EA03 MACD</t>
  </si>
  <si>
    <t>GBPUSD</t>
  </si>
  <si>
    <t>rev-pyramid</t>
  </si>
  <si>
    <t>USDCAD</t>
  </si>
  <si>
    <t>Gold Reaper 4.3</t>
  </si>
  <si>
    <t>XAUUSD</t>
  </si>
  <si>
    <t>scalper</t>
  </si>
  <si>
    <t>EA_BREAKOUT_XAU Bars55</t>
  </si>
  <si>
    <t>breakout</t>
  </si>
  <si>
    <t>v3 set</t>
  </si>
  <si>
    <t>LondonConsoBreakout CB_GBP</t>
  </si>
  <si>
    <t>EA_RUNNER_ST03 replica</t>
  </si>
  <si>
    <t>PROVISIONAL - re-confirm OOS (sibling overfit)</t>
  </si>
  <si>
    <t>EA_BREAKOUT_XAU Bars8</t>
  </si>
  <si>
    <t>additive corr 0.21 vs #6</t>
  </si>
  <si>
    <t>magic</t>
  </si>
  <si>
    <t>symbol</t>
  </si>
  <si>
    <t>trades</t>
  </si>
  <si>
    <t>net</t>
  </si>
  <si>
    <t>PF</t>
  </si>
  <si>
    <t>win_pct</t>
  </si>
  <si>
    <t>avg_win</t>
  </si>
  <si>
    <t>avg_loss</t>
  </si>
  <si>
    <t>win_loss</t>
  </si>
  <si>
    <t>max_consec_L</t>
  </si>
  <si>
    <t>realized_DD</t>
  </si>
  <si>
    <t>paste the per-EA summary CSV (parse_live_deals.ps1 -Csv) here at A2; cols A-K match exactly; col N Key auto-fills</t>
  </si>
  <si>
    <t>BT_PF</t>
  </si>
  <si>
    <t>Live_PF</t>
  </si>
  <si>
    <t>PF_ratio</t>
  </si>
  <si>
    <t>Live_trades</t>
  </si>
  <si>
    <t>Live_net</t>
  </si>
  <si>
    <t>Live_DD</t>
  </si>
  <si>
    <t>FLAG</t>
  </si>
  <si>
    <t>FLAG = analysis only, NOT auto-reject. Reject = /ea-monitor judgment (magic attribution + mechanism).</t>
  </si>
  <si>
    <t>Thresholds: KEEP PF&gt;=0.7xBT; &lt;10 trades=INCONCLUSIVE; 10-24=WATCH; &gt;=25 and PF&lt;0.7xBT=PAUSE-review. Live_DD (col I) shown for reference (not in FLAG yet; fill BT_maxDD% to compare).</t>
  </si>
  <si>
    <t>MG_v1 + Gold Reaper magic not in .set -&gt; fill BASELINE col D from MT5 GUI or they stay SET MAGIC.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</si>
</sst>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5"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BC2E6"/>
        </patternFill>
      </fill>
    </dxf>
    <dxf>
      <fill>
        <patternFill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0980C-2AB2-4F8C-8A1B-11FF96DB839F}">
  <dimension ref="A1:J10"/>
  <sheetViews>
    <sheetView workbookViewId="0"/>
  </sheetViews>
  <sheetFormatPr defaultRowHeight="15" x14ac:dyDescent="0.25"/>
  <cols>
    <col min="1" max="1" width="28.7109375" bestFit="1" customWidth="1"/>
    <col min="2" max="2" width="8.140625" bestFit="1" customWidth="1"/>
    <col min="3" max="3" width="4.5703125" bestFit="1" customWidth="1"/>
    <col min="4" max="4" width="7" bestFit="1" customWidth="1"/>
    <col min="5" max="5" width="15.28515625" bestFit="1" customWidth="1"/>
    <col min="6" max="6" width="11.5703125" bestFit="1" customWidth="1"/>
    <col min="7" max="7" width="11" bestFit="1" customWidth="1"/>
    <col min="8" max="8" width="12.140625" bestFit="1" customWidth="1"/>
    <col min="9" max="9" width="10.42578125" bestFit="1" customWidth="1"/>
    <col min="10" max="10" width="47.28515625" bestFit="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E2" t="str">
        <f>IF(D2="","",D2&amp;"|"&amp;B2)</f>
        <v/>
      </c>
      <c r="F2" t="s">
        <v>13</v>
      </c>
      <c r="G2">
        <v>2.08</v>
      </c>
      <c r="J2" t="s">
        <v>14</v>
      </c>
    </row>
    <row r="3" spans="1:10" x14ac:dyDescent="0.25">
      <c r="A3" t="s">
        <v>15</v>
      </c>
      <c r="B3" t="s">
        <v>16</v>
      </c>
      <c r="C3" t="s">
        <v>17</v>
      </c>
      <c r="D3">
        <v>1524</v>
      </c>
      <c r="E3" t="str">
        <f>IF(D3="","",D3&amp;"|"&amp;B3)</f>
        <v>1524|EURUSD</v>
      </c>
      <c r="F3" t="s">
        <v>18</v>
      </c>
      <c r="G3">
        <v>2</v>
      </c>
    </row>
    <row r="4" spans="1:10" x14ac:dyDescent="0.25">
      <c r="A4" t="s">
        <v>19</v>
      </c>
      <c r="B4" t="s">
        <v>20</v>
      </c>
      <c r="C4" t="s">
        <v>17</v>
      </c>
      <c r="D4">
        <v>9397</v>
      </c>
      <c r="E4" t="str">
        <f>IF(D4="","",D4&amp;"|"&amp;B4)</f>
        <v>9397|GBPUSD</v>
      </c>
      <c r="F4" t="s">
        <v>21</v>
      </c>
      <c r="G4">
        <v>2.4700000000000002</v>
      </c>
    </row>
    <row r="5" spans="1:10" x14ac:dyDescent="0.25">
      <c r="A5" t="s">
        <v>19</v>
      </c>
      <c r="B5" t="s">
        <v>22</v>
      </c>
      <c r="C5" t="s">
        <v>17</v>
      </c>
      <c r="D5">
        <v>9398</v>
      </c>
      <c r="E5" t="str">
        <f>IF(D5="","",D5&amp;"|"&amp;B5)</f>
        <v>9398|USDCAD</v>
      </c>
      <c r="F5" t="s">
        <v>21</v>
      </c>
      <c r="G5">
        <v>2.62</v>
      </c>
    </row>
    <row r="6" spans="1:10" x14ac:dyDescent="0.25">
      <c r="A6" t="s">
        <v>23</v>
      </c>
      <c r="B6" t="s">
        <v>24</v>
      </c>
      <c r="C6" t="s">
        <v>17</v>
      </c>
      <c r="E6" t="str">
        <f>IF(D6="","",D6&amp;"|"&amp;B6)</f>
        <v/>
      </c>
      <c r="F6" t="s">
        <v>25</v>
      </c>
      <c r="G6">
        <v>2.0699999999999998</v>
      </c>
      <c r="J6" t="s">
        <v>14</v>
      </c>
    </row>
    <row r="7" spans="1:10" x14ac:dyDescent="0.25">
      <c r="A7" t="s">
        <v>26</v>
      </c>
      <c r="B7" t="s">
        <v>24</v>
      </c>
      <c r="C7" t="s">
        <v>17</v>
      </c>
      <c r="D7">
        <v>991001</v>
      </c>
      <c r="E7" t="str">
        <f>IF(D7="","",D7&amp;"|"&amp;B7)</f>
        <v>991001|XAUUSD</v>
      </c>
      <c r="F7" t="s">
        <v>27</v>
      </c>
      <c r="G7">
        <v>2.94</v>
      </c>
      <c r="J7" t="s">
        <v>28</v>
      </c>
    </row>
    <row r="8" spans="1:10" x14ac:dyDescent="0.25">
      <c r="A8" t="s">
        <v>29</v>
      </c>
      <c r="B8" t="s">
        <v>20</v>
      </c>
      <c r="C8" t="s">
        <v>17</v>
      </c>
      <c r="D8">
        <v>990005</v>
      </c>
      <c r="E8" t="str">
        <f>IF(D8="","",D8&amp;"|"&amp;B8)</f>
        <v>990005|GBPUSD</v>
      </c>
      <c r="F8" t="s">
        <v>27</v>
      </c>
      <c r="G8">
        <v>2.08</v>
      </c>
    </row>
    <row r="9" spans="1:10" x14ac:dyDescent="0.25">
      <c r="A9" t="s">
        <v>30</v>
      </c>
      <c r="B9" t="s">
        <v>20</v>
      </c>
      <c r="C9" t="s">
        <v>17</v>
      </c>
      <c r="D9">
        <v>990010</v>
      </c>
      <c r="E9" t="str">
        <f>IF(D9="","",D9&amp;"|"&amp;B9)</f>
        <v>990010|GBPUSD</v>
      </c>
      <c r="F9" t="s">
        <v>21</v>
      </c>
      <c r="G9">
        <v>3.93</v>
      </c>
      <c r="J9" t="s">
        <v>31</v>
      </c>
    </row>
    <row r="10" spans="1:10" x14ac:dyDescent="0.25">
      <c r="A10" t="s">
        <v>32</v>
      </c>
      <c r="B10" t="s">
        <v>24</v>
      </c>
      <c r="C10" t="s">
        <v>17</v>
      </c>
      <c r="D10">
        <v>991002</v>
      </c>
      <c r="E10" t="str">
        <f>IF(D10="","",D10&amp;"|"&amp;B10)</f>
        <v>991002|XAUUSD</v>
      </c>
      <c r="F10" t="s">
        <v>27</v>
      </c>
      <c r="G10">
        <v>3.92</v>
      </c>
      <c r="J10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E26FE-0E70-406E-BDFA-6664CA2EF867}">
  <dimension ref="A1:P60"/>
  <sheetViews>
    <sheetView workbookViewId="0"/>
  </sheetViews>
  <sheetFormatPr defaultRowHeight="15" x14ac:dyDescent="0.25"/>
  <cols>
    <col min="1" max="1" width="6.28515625" bestFit="1" customWidth="1"/>
    <col min="2" max="2" width="7.5703125" bestFit="1" customWidth="1"/>
    <col min="3" max="3" width="6.7109375" bestFit="1" customWidth="1"/>
    <col min="4" max="4" width="4" bestFit="1" customWidth="1"/>
    <col min="5" max="5" width="3.140625" bestFit="1" customWidth="1"/>
    <col min="6" max="6" width="7.85546875" bestFit="1" customWidth="1"/>
    <col min="7" max="7" width="8" bestFit="1" customWidth="1"/>
    <col min="8" max="8" width="8.5703125" bestFit="1" customWidth="1"/>
    <col min="9" max="9" width="8.7109375" bestFit="1" customWidth="1"/>
    <col min="10" max="10" width="14" bestFit="1" customWidth="1"/>
    <col min="11" max="11" width="11.85546875" bestFit="1" customWidth="1"/>
    <col min="14" max="14" width="4.28515625" bestFit="1" customWidth="1"/>
    <col min="16" max="16" width="102" bestFit="1" customWidth="1"/>
  </cols>
  <sheetData>
    <row r="1" spans="1:16" s="1" customFormat="1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N1" s="1" t="s">
        <v>4</v>
      </c>
    </row>
    <row r="2" spans="1:16" x14ac:dyDescent="0.25">
      <c r="N2" t="str">
        <f>IF(A2="","",A2&amp;"|"&amp;B2)</f>
        <v/>
      </c>
      <c r="P2" t="s">
        <v>45</v>
      </c>
    </row>
    <row r="3" spans="1:16" x14ac:dyDescent="0.25">
      <c r="N3" t="str">
        <f>IF(A3="","",A3&amp;"|"&amp;B3)</f>
        <v/>
      </c>
    </row>
    <row r="4" spans="1:16" x14ac:dyDescent="0.25">
      <c r="N4" t="str">
        <f>IF(A4="","",A4&amp;"|"&amp;B4)</f>
        <v/>
      </c>
    </row>
    <row r="5" spans="1:16" x14ac:dyDescent="0.25">
      <c r="N5" t="str">
        <f>IF(A5="","",A5&amp;"|"&amp;B5)</f>
        <v/>
      </c>
    </row>
    <row r="6" spans="1:16" x14ac:dyDescent="0.25">
      <c r="N6" t="str">
        <f>IF(A6="","",A6&amp;"|"&amp;B6)</f>
        <v/>
      </c>
    </row>
    <row r="7" spans="1:16" x14ac:dyDescent="0.25">
      <c r="N7" t="str">
        <f>IF(A7="","",A7&amp;"|"&amp;B7)</f>
        <v/>
      </c>
    </row>
    <row r="8" spans="1:16" x14ac:dyDescent="0.25">
      <c r="N8" t="str">
        <f>IF(A8="","",A8&amp;"|"&amp;B8)</f>
        <v/>
      </c>
    </row>
    <row r="9" spans="1:16" x14ac:dyDescent="0.25">
      <c r="N9" t="str">
        <f>IF(A9="","",A9&amp;"|"&amp;B9)</f>
        <v/>
      </c>
    </row>
    <row r="10" spans="1:16" x14ac:dyDescent="0.25">
      <c r="N10" t="str">
        <f>IF(A10="","",A10&amp;"|"&amp;B10)</f>
        <v/>
      </c>
    </row>
    <row r="11" spans="1:16" x14ac:dyDescent="0.25">
      <c r="N11" t="str">
        <f>IF(A11="","",A11&amp;"|"&amp;B11)</f>
        <v/>
      </c>
    </row>
    <row r="12" spans="1:16" x14ac:dyDescent="0.25">
      <c r="N12" t="str">
        <f>IF(A12="","",A12&amp;"|"&amp;B12)</f>
        <v/>
      </c>
    </row>
    <row r="13" spans="1:16" x14ac:dyDescent="0.25">
      <c r="N13" t="str">
        <f>IF(A13="","",A13&amp;"|"&amp;B13)</f>
        <v/>
      </c>
    </row>
    <row r="14" spans="1:16" x14ac:dyDescent="0.25">
      <c r="N14" t="str">
        <f>IF(A14="","",A14&amp;"|"&amp;B14)</f>
        <v/>
      </c>
    </row>
    <row r="15" spans="1:16" x14ac:dyDescent="0.25">
      <c r="N15" t="str">
        <f>IF(A15="","",A15&amp;"|"&amp;B15)</f>
        <v/>
      </c>
    </row>
    <row r="16" spans="1:16" x14ac:dyDescent="0.25">
      <c r="N16" t="str">
        <f>IF(A16="","",A16&amp;"|"&amp;B16)</f>
        <v/>
      </c>
    </row>
    <row r="17" spans="14:14" x14ac:dyDescent="0.25">
      <c r="N17" t="str">
        <f>IF(A17="","",A17&amp;"|"&amp;B17)</f>
        <v/>
      </c>
    </row>
    <row r="18" spans="14:14" x14ac:dyDescent="0.25">
      <c r="N18" t="str">
        <f>IF(A18="","",A18&amp;"|"&amp;B18)</f>
        <v/>
      </c>
    </row>
    <row r="19" spans="14:14" x14ac:dyDescent="0.25">
      <c r="N19" t="str">
        <f>IF(A19="","",A19&amp;"|"&amp;B19)</f>
        <v/>
      </c>
    </row>
    <row r="20" spans="14:14" x14ac:dyDescent="0.25">
      <c r="N20" t="str">
        <f>IF(A20="","",A20&amp;"|"&amp;B20)</f>
        <v/>
      </c>
    </row>
    <row r="21" spans="14:14" x14ac:dyDescent="0.25">
      <c r="N21" t="str">
        <f>IF(A21="","",A21&amp;"|"&amp;B21)</f>
        <v/>
      </c>
    </row>
    <row r="22" spans="14:14" x14ac:dyDescent="0.25">
      <c r="N22" t="str">
        <f>IF(A22="","",A22&amp;"|"&amp;B22)</f>
        <v/>
      </c>
    </row>
    <row r="23" spans="14:14" x14ac:dyDescent="0.25">
      <c r="N23" t="str">
        <f>IF(A23="","",A23&amp;"|"&amp;B23)</f>
        <v/>
      </c>
    </row>
    <row r="24" spans="14:14" x14ac:dyDescent="0.25">
      <c r="N24" t="str">
        <f>IF(A24="","",A24&amp;"|"&amp;B24)</f>
        <v/>
      </c>
    </row>
    <row r="25" spans="14:14" x14ac:dyDescent="0.25">
      <c r="N25" t="str">
        <f>IF(A25="","",A25&amp;"|"&amp;B25)</f>
        <v/>
      </c>
    </row>
    <row r="26" spans="14:14" x14ac:dyDescent="0.25">
      <c r="N26" t="str">
        <f>IF(A26="","",A26&amp;"|"&amp;B26)</f>
        <v/>
      </c>
    </row>
    <row r="27" spans="14:14" x14ac:dyDescent="0.25">
      <c r="N27" t="str">
        <f>IF(A27="","",A27&amp;"|"&amp;B27)</f>
        <v/>
      </c>
    </row>
    <row r="28" spans="14:14" x14ac:dyDescent="0.25">
      <c r="N28" t="str">
        <f>IF(A28="","",A28&amp;"|"&amp;B28)</f>
        <v/>
      </c>
    </row>
    <row r="29" spans="14:14" x14ac:dyDescent="0.25">
      <c r="N29" t="str">
        <f>IF(A29="","",A29&amp;"|"&amp;B29)</f>
        <v/>
      </c>
    </row>
    <row r="30" spans="14:14" x14ac:dyDescent="0.25">
      <c r="N30" t="str">
        <f>IF(A30="","",A30&amp;"|"&amp;B30)</f>
        <v/>
      </c>
    </row>
    <row r="31" spans="14:14" x14ac:dyDescent="0.25">
      <c r="N31" t="str">
        <f>IF(A31="","",A31&amp;"|"&amp;B31)</f>
        <v/>
      </c>
    </row>
    <row r="32" spans="14:14" x14ac:dyDescent="0.25">
      <c r="N32" t="str">
        <f>IF(A32="","",A32&amp;"|"&amp;B32)</f>
        <v/>
      </c>
    </row>
    <row r="33" spans="14:14" x14ac:dyDescent="0.25">
      <c r="N33" t="str">
        <f>IF(A33="","",A33&amp;"|"&amp;B33)</f>
        <v/>
      </c>
    </row>
    <row r="34" spans="14:14" x14ac:dyDescent="0.25">
      <c r="N34" t="str">
        <f>IF(A34="","",A34&amp;"|"&amp;B34)</f>
        <v/>
      </c>
    </row>
    <row r="35" spans="14:14" x14ac:dyDescent="0.25">
      <c r="N35" t="str">
        <f>IF(A35="","",A35&amp;"|"&amp;B35)</f>
        <v/>
      </c>
    </row>
    <row r="36" spans="14:14" x14ac:dyDescent="0.25">
      <c r="N36" t="str">
        <f>IF(A36="","",A36&amp;"|"&amp;B36)</f>
        <v/>
      </c>
    </row>
    <row r="37" spans="14:14" x14ac:dyDescent="0.25">
      <c r="N37" t="str">
        <f>IF(A37="","",A37&amp;"|"&amp;B37)</f>
        <v/>
      </c>
    </row>
    <row r="38" spans="14:14" x14ac:dyDescent="0.25">
      <c r="N38" t="str">
        <f>IF(A38="","",A38&amp;"|"&amp;B38)</f>
        <v/>
      </c>
    </row>
    <row r="39" spans="14:14" x14ac:dyDescent="0.25">
      <c r="N39" t="str">
        <f>IF(A39="","",A39&amp;"|"&amp;B39)</f>
        <v/>
      </c>
    </row>
    <row r="40" spans="14:14" x14ac:dyDescent="0.25">
      <c r="N40" t="str">
        <f>IF(A40="","",A40&amp;"|"&amp;B40)</f>
        <v/>
      </c>
    </row>
    <row r="41" spans="14:14" x14ac:dyDescent="0.25">
      <c r="N41" t="str">
        <f>IF(A41="","",A41&amp;"|"&amp;B41)</f>
        <v/>
      </c>
    </row>
    <row r="42" spans="14:14" x14ac:dyDescent="0.25">
      <c r="N42" t="str">
        <f>IF(A42="","",A42&amp;"|"&amp;B42)</f>
        <v/>
      </c>
    </row>
    <row r="43" spans="14:14" x14ac:dyDescent="0.25">
      <c r="N43" t="str">
        <f>IF(A43="","",A43&amp;"|"&amp;B43)</f>
        <v/>
      </c>
    </row>
    <row r="44" spans="14:14" x14ac:dyDescent="0.25">
      <c r="N44" t="str">
        <f>IF(A44="","",A44&amp;"|"&amp;B44)</f>
        <v/>
      </c>
    </row>
    <row r="45" spans="14:14" x14ac:dyDescent="0.25">
      <c r="N45" t="str">
        <f>IF(A45="","",A45&amp;"|"&amp;B45)</f>
        <v/>
      </c>
    </row>
    <row r="46" spans="14:14" x14ac:dyDescent="0.25">
      <c r="N46" t="str">
        <f>IF(A46="","",A46&amp;"|"&amp;B46)</f>
        <v/>
      </c>
    </row>
    <row r="47" spans="14:14" x14ac:dyDescent="0.25">
      <c r="N47" t="str">
        <f>IF(A47="","",A47&amp;"|"&amp;B47)</f>
        <v/>
      </c>
    </row>
    <row r="48" spans="14:14" x14ac:dyDescent="0.25">
      <c r="N48" t="str">
        <f>IF(A48="","",A48&amp;"|"&amp;B48)</f>
        <v/>
      </c>
    </row>
    <row r="49" spans="14:14" x14ac:dyDescent="0.25">
      <c r="N49" t="str">
        <f>IF(A49="","",A49&amp;"|"&amp;B49)</f>
        <v/>
      </c>
    </row>
    <row r="50" spans="14:14" x14ac:dyDescent="0.25">
      <c r="N50" t="str">
        <f>IF(A50="","",A50&amp;"|"&amp;B50)</f>
        <v/>
      </c>
    </row>
    <row r="51" spans="14:14" x14ac:dyDescent="0.25">
      <c r="N51" t="str">
        <f>IF(A51="","",A51&amp;"|"&amp;B51)</f>
        <v/>
      </c>
    </row>
    <row r="52" spans="14:14" x14ac:dyDescent="0.25">
      <c r="N52" t="str">
        <f>IF(A52="","",A52&amp;"|"&amp;B52)</f>
        <v/>
      </c>
    </row>
    <row r="53" spans="14:14" x14ac:dyDescent="0.25">
      <c r="N53" t="str">
        <f>IF(A53="","",A53&amp;"|"&amp;B53)</f>
        <v/>
      </c>
    </row>
    <row r="54" spans="14:14" x14ac:dyDescent="0.25">
      <c r="N54" t="str">
        <f>IF(A54="","",A54&amp;"|"&amp;B54)</f>
        <v/>
      </c>
    </row>
    <row r="55" spans="14:14" x14ac:dyDescent="0.25">
      <c r="N55" t="str">
        <f>IF(A55="","",A55&amp;"|"&amp;B55)</f>
        <v/>
      </c>
    </row>
    <row r="56" spans="14:14" x14ac:dyDescent="0.25">
      <c r="N56" t="str">
        <f>IF(A56="","",A56&amp;"|"&amp;B56)</f>
        <v/>
      </c>
    </row>
    <row r="57" spans="14:14" x14ac:dyDescent="0.25">
      <c r="N57" t="str">
        <f>IF(A57="","",A57&amp;"|"&amp;B57)</f>
        <v/>
      </c>
    </row>
    <row r="58" spans="14:14" x14ac:dyDescent="0.25">
      <c r="N58" t="str">
        <f>IF(A58="","",A58&amp;"|"&amp;B58)</f>
        <v/>
      </c>
    </row>
    <row r="59" spans="14:14" x14ac:dyDescent="0.25">
      <c r="N59" t="str">
        <f>IF(A59="","",A59&amp;"|"&amp;B59)</f>
        <v/>
      </c>
    </row>
    <row r="60" spans="14:14" x14ac:dyDescent="0.25">
      <c r="N60" t="str">
        <f>IF(A60="","",A60&amp;"|"&amp;B60)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F933B-3B17-4DDD-AF38-61E3DCA2D6C1}">
  <dimension ref="A1:J14"/>
  <sheetViews>
    <sheetView tabSelected="1" workbookViewId="0"/>
  </sheetViews>
  <sheetFormatPr defaultRowHeight="15" x14ac:dyDescent="0.25"/>
  <cols>
    <col min="1" max="1" width="170.7109375" bestFit="1" customWidth="1"/>
    <col min="2" max="2" width="8.140625" bestFit="1" customWidth="1"/>
    <col min="3" max="3" width="15.28515625" bestFit="1" customWidth="1"/>
    <col min="4" max="4" width="6.140625" bestFit="1" customWidth="1"/>
    <col min="5" max="5" width="10.85546875" bestFit="1" customWidth="1"/>
    <col min="6" max="6" width="8.140625" bestFit="1" customWidth="1"/>
    <col min="7" max="7" width="11.28515625" bestFit="1" customWidth="1"/>
    <col min="8" max="8" width="8.5703125" bestFit="1" customWidth="1"/>
    <col min="9" max="9" width="8.42578125" bestFit="1" customWidth="1"/>
    <col min="10" max="10" width="10.140625" bestFit="1" customWidth="1"/>
  </cols>
  <sheetData>
    <row r="1" spans="1:10" s="1" customFormat="1" x14ac:dyDescent="0.25">
      <c r="A1" s="1" t="s">
        <v>0</v>
      </c>
      <c r="B1" s="1" t="s">
        <v>1</v>
      </c>
      <c r="C1" s="1" t="s">
        <v>4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</row>
    <row r="2" spans="1:10" x14ac:dyDescent="0.25">
      <c r="A2" t="str">
        <f>BASELINE!A2</f>
        <v>Matchagrid MG_v1</v>
      </c>
      <c r="B2" t="str">
        <f>BASELINE!B2</f>
        <v>CHFJPY</v>
      </c>
      <c r="C2" t="str">
        <f>BASELINE!E2</f>
        <v/>
      </c>
      <c r="D2">
        <f>BASELINE!G2</f>
        <v>2.08</v>
      </c>
      <c r="E2" t="str">
        <f>IF(C2="","(set magic)",IFERROR(INDEX(LIVE!$E:$E,MATCH(C2,LIVE!$N:$N,0)),""))</f>
        <v>(set magic)</v>
      </c>
      <c r="F2" t="str">
        <f>IFERROR(E2/D2,"")</f>
        <v/>
      </c>
      <c r="G2" t="str">
        <f>IF(C2="","",IFERROR(INDEX(LIVE!$C:$C,MATCH(C2,LIVE!$N:$N,0)),""))</f>
        <v/>
      </c>
      <c r="H2" t="str">
        <f>IF(C2="","",IFERROR(INDEX(LIVE!$D:$D,MATCH(C2,LIVE!$N:$N,0)),""))</f>
        <v/>
      </c>
      <c r="I2" t="str">
        <f>IF(C2="","",IFERROR(INDEX(LIVE!$K:$K,MATCH(C2,LIVE!$N:$N,0)),""))</f>
        <v/>
      </c>
      <c r="J2" t="str">
        <f>IF(C2="","SET MAGIC",IF(G2="","NO DATA",IF(G2&lt;10,"INCONCLUSIVE",IF(F2&gt;=0.7,"KEEP",IF(G2&lt;25,"WATCH","PAUSE-review")))))</f>
        <v>SET MAGIC</v>
      </c>
    </row>
    <row r="3" spans="1:10" x14ac:dyDescent="0.25">
      <c r="A3" t="str">
        <f>BASELINE!A3</f>
        <v>NuiIndy RSI+ADX</v>
      </c>
      <c r="B3" t="str">
        <f>BASELINE!B3</f>
        <v>EURUSD</v>
      </c>
      <c r="C3" t="str">
        <f>BASELINE!E3</f>
        <v>1524|EURUSD</v>
      </c>
      <c r="D3">
        <f>BASELINE!G3</f>
        <v>2</v>
      </c>
      <c r="E3" t="str">
        <f>IF(C3="","(set magic)",IFERROR(INDEX(LIVE!$E:$E,MATCH(C3,LIVE!$N:$N,0)),""))</f>
        <v/>
      </c>
      <c r="F3" t="str">
        <f>IFERROR(E3/D3,"")</f>
        <v/>
      </c>
      <c r="G3" t="str">
        <f>IF(C3="","",IFERROR(INDEX(LIVE!$C:$C,MATCH(C3,LIVE!$N:$N,0)),""))</f>
        <v/>
      </c>
      <c r="H3" t="str">
        <f>IF(C3="","",IFERROR(INDEX(LIVE!$D:$D,MATCH(C3,LIVE!$N:$N,0)),""))</f>
        <v/>
      </c>
      <c r="I3" t="str">
        <f>IF(C3="","",IFERROR(INDEX(LIVE!$K:$K,MATCH(C3,LIVE!$N:$N,0)),""))</f>
        <v/>
      </c>
      <c r="J3" t="str">
        <f>IF(C3="","SET MAGIC",IF(G3="","NO DATA",IF(G3&lt;10,"INCONCLUSIVE",IF(F3&gt;=0.7,"KEEP",IF(G3&lt;25,"WATCH","PAUSE-review")))))</f>
        <v>NO DATA</v>
      </c>
    </row>
    <row r="4" spans="1:10" x14ac:dyDescent="0.25">
      <c r="A4" t="str">
        <f>BASELINE!A4</f>
        <v>ST_EA03 MACD</v>
      </c>
      <c r="B4" t="str">
        <f>BASELINE!B4</f>
        <v>GBPUSD</v>
      </c>
      <c r="C4" t="str">
        <f>BASELINE!E4</f>
        <v>9397|GBPUSD</v>
      </c>
      <c r="D4">
        <f>BASELINE!G4</f>
        <v>2.4700000000000002</v>
      </c>
      <c r="E4" t="str">
        <f>IF(C4="","(set magic)",IFERROR(INDEX(LIVE!$E:$E,MATCH(C4,LIVE!$N:$N,0)),""))</f>
        <v/>
      </c>
      <c r="F4" t="str">
        <f>IFERROR(E4/D4,"")</f>
        <v/>
      </c>
      <c r="G4" t="str">
        <f>IF(C4="","",IFERROR(INDEX(LIVE!$C:$C,MATCH(C4,LIVE!$N:$N,0)),""))</f>
        <v/>
      </c>
      <c r="H4" t="str">
        <f>IF(C4="","",IFERROR(INDEX(LIVE!$D:$D,MATCH(C4,LIVE!$N:$N,0)),""))</f>
        <v/>
      </c>
      <c r="I4" t="str">
        <f>IF(C4="","",IFERROR(INDEX(LIVE!$K:$K,MATCH(C4,LIVE!$N:$N,0)),""))</f>
        <v/>
      </c>
      <c r="J4" t="str">
        <f>IF(C4="","SET MAGIC",IF(G4="","NO DATA",IF(G4&lt;10,"INCONCLUSIVE",IF(F4&gt;=0.7,"KEEP",IF(G4&lt;25,"WATCH","PAUSE-review")))))</f>
        <v>NO DATA</v>
      </c>
    </row>
    <row r="5" spans="1:10" x14ac:dyDescent="0.25">
      <c r="A5" t="str">
        <f>BASELINE!A5</f>
        <v>ST_EA03 MACD</v>
      </c>
      <c r="B5" t="str">
        <f>BASELINE!B5</f>
        <v>USDCAD</v>
      </c>
      <c r="C5" t="str">
        <f>BASELINE!E5</f>
        <v>9398|USDCAD</v>
      </c>
      <c r="D5">
        <f>BASELINE!G5</f>
        <v>2.62</v>
      </c>
      <c r="E5" t="str">
        <f>IF(C5="","(set magic)",IFERROR(INDEX(LIVE!$E:$E,MATCH(C5,LIVE!$N:$N,0)),""))</f>
        <v/>
      </c>
      <c r="F5" t="str">
        <f>IFERROR(E5/D5,"")</f>
        <v/>
      </c>
      <c r="G5" t="str">
        <f>IF(C5="","",IFERROR(INDEX(LIVE!$C:$C,MATCH(C5,LIVE!$N:$N,0)),""))</f>
        <v/>
      </c>
      <c r="H5" t="str">
        <f>IF(C5="","",IFERROR(INDEX(LIVE!$D:$D,MATCH(C5,LIVE!$N:$N,0)),""))</f>
        <v/>
      </c>
      <c r="I5" t="str">
        <f>IF(C5="","",IFERROR(INDEX(LIVE!$K:$K,MATCH(C5,LIVE!$N:$N,0)),""))</f>
        <v/>
      </c>
      <c r="J5" t="str">
        <f>IF(C5="","SET MAGIC",IF(G5="","NO DATA",IF(G5&lt;10,"INCONCLUSIVE",IF(F5&gt;=0.7,"KEEP",IF(G5&lt;25,"WATCH","PAUSE-review")))))</f>
        <v>NO DATA</v>
      </c>
    </row>
    <row r="6" spans="1:10" x14ac:dyDescent="0.25">
      <c r="A6" t="str">
        <f>BASELINE!A6</f>
        <v>Gold Reaper 4.3</v>
      </c>
      <c r="B6" t="str">
        <f>BASELINE!B6</f>
        <v>XAUUSD</v>
      </c>
      <c r="C6" t="str">
        <f>BASELINE!E6</f>
        <v/>
      </c>
      <c r="D6">
        <f>BASELINE!G6</f>
        <v>2.0699999999999998</v>
      </c>
      <c r="E6" t="str">
        <f>IF(C6="","(set magic)",IFERROR(INDEX(LIVE!$E:$E,MATCH(C6,LIVE!$N:$N,0)),""))</f>
        <v>(set magic)</v>
      </c>
      <c r="F6" t="str">
        <f>IFERROR(E6/D6,"")</f>
        <v/>
      </c>
      <c r="G6" t="str">
        <f>IF(C6="","",IFERROR(INDEX(LIVE!$C:$C,MATCH(C6,LIVE!$N:$N,0)),""))</f>
        <v/>
      </c>
      <c r="H6" t="str">
        <f>IF(C6="","",IFERROR(INDEX(LIVE!$D:$D,MATCH(C6,LIVE!$N:$N,0)),""))</f>
        <v/>
      </c>
      <c r="I6" t="str">
        <f>IF(C6="","",IFERROR(INDEX(LIVE!$K:$K,MATCH(C6,LIVE!$N:$N,0)),""))</f>
        <v/>
      </c>
      <c r="J6" t="str">
        <f>IF(C6="","SET MAGIC",IF(G6="","NO DATA",IF(G6&lt;10,"INCONCLUSIVE",IF(F6&gt;=0.7,"KEEP",IF(G6&lt;25,"WATCH","PAUSE-review")))))</f>
        <v>SET MAGIC</v>
      </c>
    </row>
    <row r="7" spans="1:10" x14ac:dyDescent="0.25">
      <c r="A7" t="str">
        <f>BASELINE!A7</f>
        <v>EA_BREAKOUT_XAU Bars55</v>
      </c>
      <c r="B7" t="str">
        <f>BASELINE!B7</f>
        <v>XAUUSD</v>
      </c>
      <c r="C7" t="str">
        <f>BASELINE!E7</f>
        <v>991001|XAUUSD</v>
      </c>
      <c r="D7">
        <f>BASELINE!G7</f>
        <v>2.94</v>
      </c>
      <c r="E7" t="str">
        <f>IF(C7="","(set magic)",IFERROR(INDEX(LIVE!$E:$E,MATCH(C7,LIVE!$N:$N,0)),""))</f>
        <v/>
      </c>
      <c r="F7" t="str">
        <f>IFERROR(E7/D7,"")</f>
        <v/>
      </c>
      <c r="G7" t="str">
        <f>IF(C7="","",IFERROR(INDEX(LIVE!$C:$C,MATCH(C7,LIVE!$N:$N,0)),""))</f>
        <v/>
      </c>
      <c r="H7" t="str">
        <f>IF(C7="","",IFERROR(INDEX(LIVE!$D:$D,MATCH(C7,LIVE!$N:$N,0)),""))</f>
        <v/>
      </c>
      <c r="I7" t="str">
        <f>IF(C7="","",IFERROR(INDEX(LIVE!$K:$K,MATCH(C7,LIVE!$N:$N,0)),""))</f>
        <v/>
      </c>
      <c r="J7" t="str">
        <f>IF(C7="","SET MAGIC",IF(G7="","NO DATA",IF(G7&lt;10,"INCONCLUSIVE",IF(F7&gt;=0.7,"KEEP",IF(G7&lt;25,"WATCH","PAUSE-review")))))</f>
        <v>NO DATA</v>
      </c>
    </row>
    <row r="8" spans="1:10" x14ac:dyDescent="0.25">
      <c r="A8" t="str">
        <f>BASELINE!A8</f>
        <v>LondonConsoBreakout CB_GBP</v>
      </c>
      <c r="B8" t="str">
        <f>BASELINE!B8</f>
        <v>GBPUSD</v>
      </c>
      <c r="C8" t="str">
        <f>BASELINE!E8</f>
        <v>990005|GBPUSD</v>
      </c>
      <c r="D8">
        <f>BASELINE!G8</f>
        <v>2.08</v>
      </c>
      <c r="E8" t="str">
        <f>IF(C8="","(set magic)",IFERROR(INDEX(LIVE!$E:$E,MATCH(C8,LIVE!$N:$N,0)),""))</f>
        <v/>
      </c>
      <c r="F8" t="str">
        <f>IFERROR(E8/D8,"")</f>
        <v/>
      </c>
      <c r="G8" t="str">
        <f>IF(C8="","",IFERROR(INDEX(LIVE!$C:$C,MATCH(C8,LIVE!$N:$N,0)),""))</f>
        <v/>
      </c>
      <c r="H8" t="str">
        <f>IF(C8="","",IFERROR(INDEX(LIVE!$D:$D,MATCH(C8,LIVE!$N:$N,0)),""))</f>
        <v/>
      </c>
      <c r="I8" t="str">
        <f>IF(C8="","",IFERROR(INDEX(LIVE!$K:$K,MATCH(C8,LIVE!$N:$N,0)),""))</f>
        <v/>
      </c>
      <c r="J8" t="str">
        <f>IF(C8="","SET MAGIC",IF(G8="","NO DATA",IF(G8&lt;10,"INCONCLUSIVE",IF(F8&gt;=0.7,"KEEP",IF(G8&lt;25,"WATCH","PAUSE-review")))))</f>
        <v>NO DATA</v>
      </c>
    </row>
    <row r="9" spans="1:10" x14ac:dyDescent="0.25">
      <c r="A9" t="str">
        <f>BASELINE!A9</f>
        <v>EA_RUNNER_ST03 replica</v>
      </c>
      <c r="B9" t="str">
        <f>BASELINE!B9</f>
        <v>GBPUSD</v>
      </c>
      <c r="C9" t="str">
        <f>BASELINE!E9</f>
        <v>990010|GBPUSD</v>
      </c>
      <c r="D9">
        <f>BASELINE!G9</f>
        <v>3.93</v>
      </c>
      <c r="E9" t="str">
        <f>IF(C9="","(set magic)",IFERROR(INDEX(LIVE!$E:$E,MATCH(C9,LIVE!$N:$N,0)),""))</f>
        <v/>
      </c>
      <c r="F9" t="str">
        <f>IFERROR(E9/D9,"")</f>
        <v/>
      </c>
      <c r="G9" t="str">
        <f>IF(C9="","",IFERROR(INDEX(LIVE!$C:$C,MATCH(C9,LIVE!$N:$N,0)),""))</f>
        <v/>
      </c>
      <c r="H9" t="str">
        <f>IF(C9="","",IFERROR(INDEX(LIVE!$D:$D,MATCH(C9,LIVE!$N:$N,0)),""))</f>
        <v/>
      </c>
      <c r="I9" t="str">
        <f>IF(C9="","",IFERROR(INDEX(LIVE!$K:$K,MATCH(C9,LIVE!$N:$N,0)),""))</f>
        <v/>
      </c>
      <c r="J9" t="str">
        <f>IF(C9="","SET MAGIC",IF(G9="","NO DATA",IF(G9&lt;10,"INCONCLUSIVE",IF(F9&gt;=0.7,"KEEP",IF(G9&lt;25,"WATCH","PAUSE-review")))))</f>
        <v>NO DATA</v>
      </c>
    </row>
    <row r="10" spans="1:10" x14ac:dyDescent="0.25">
      <c r="A10" t="str">
        <f>BASELINE!A10</f>
        <v>EA_BREAKOUT_XAU Bars8</v>
      </c>
      <c r="B10" t="str">
        <f>BASELINE!B10</f>
        <v>XAUUSD</v>
      </c>
      <c r="C10" t="str">
        <f>BASELINE!E10</f>
        <v>991002|XAUUSD</v>
      </c>
      <c r="D10">
        <f>BASELINE!G10</f>
        <v>3.92</v>
      </c>
      <c r="E10" t="str">
        <f>IF(C10="","(set magic)",IFERROR(INDEX(LIVE!$E:$E,MATCH(C10,LIVE!$N:$N,0)),""))</f>
        <v/>
      </c>
      <c r="F10" t="str">
        <f>IFERROR(E10/D10,"")</f>
        <v/>
      </c>
      <c r="G10" t="str">
        <f>IF(C10="","",IFERROR(INDEX(LIVE!$C:$C,MATCH(C10,LIVE!$N:$N,0)),""))</f>
        <v/>
      </c>
      <c r="H10" t="str">
        <f>IF(C10="","",IFERROR(INDEX(LIVE!$D:$D,MATCH(C10,LIVE!$N:$N,0)),""))</f>
        <v/>
      </c>
      <c r="I10" t="str">
        <f>IF(C10="","",IFERROR(INDEX(LIVE!$K:$K,MATCH(C10,LIVE!$N:$N,0)),""))</f>
        <v/>
      </c>
      <c r="J10" t="str">
        <f>IF(C10="","SET MAGIC",IF(G10="","NO DATA",IF(G10&lt;10,"INCONCLUSIVE",IF(F10&gt;=0.7,"KEEP",IF(G10&lt;25,"WATCH","PAUSE-review")))))</f>
        <v>NO DATA</v>
      </c>
    </row>
    <row r="12" spans="1:10" x14ac:dyDescent="0.25">
      <c r="A12" t="s">
        <v>53</v>
      </c>
    </row>
    <row r="13" spans="1:10" x14ac:dyDescent="0.25">
      <c r="A13" t="s">
        <v>54</v>
      </c>
    </row>
    <row r="14" spans="1:10" x14ac:dyDescent="0.25">
      <c r="A14" t="s">
        <v>55</v>
      </c>
    </row>
  </sheetData>
  <conditionalFormatting sqref="J2:J10">
    <cfRule type="expression" dxfId="4" priority="1" stopIfTrue="1">
      <formula>$J2="INCONCLUSIVE"</formula>
    </cfRule>
    <cfRule type="expression" dxfId="3" priority="2" stopIfTrue="1">
      <formula>$J2="SET MAGIC"</formula>
    </cfRule>
    <cfRule type="expression" dxfId="2" priority="3" stopIfTrue="1">
      <formula>$J2="KEEP"</formula>
    </cfRule>
    <cfRule type="expression" dxfId="1" priority="4" stopIfTrue="1">
      <formula>$J2="PAUSE-review"</formula>
    </cfRule>
    <cfRule type="expression" dxfId="0" priority="5" stopIfTrue="1">
      <formula>$J2="WATCH"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BASELINE</vt:lpstr>
      <vt:lpstr>LIVE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pattarapon atiprayoon</dc:creator>
  <cp:lastModifiedBy>pattarapon atiprayoon</cp:lastModifiedBy>
  <dcterms:created xsi:type="dcterms:W3CDTF">2026-06-29T03:00:52Z</dcterms:created>
  <dcterms:modified xsi:type="dcterms:W3CDTF">2026-06-29T03:00:54Z</dcterms:modified>
</cp:coreProperties>
</file>